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cambxl-my.sharepoint.com/personal/23264_ecam_be/Documents/eczm/BA3/sys d'info/projet claude/300326 SAB/"/>
    </mc:Choice>
  </mc:AlternateContent>
  <xr:revisionPtr revIDLastSave="83" documentId="8_{7C05299A-2902-488E-B24D-DBE475F79F24}" xr6:coauthVersionLast="47" xr6:coauthVersionMax="47" xr10:uidLastSave="{DAE036C0-C939-4BCE-B485-BF11499755E1}"/>
  <bookViews>
    <workbookView xWindow="-19290" yWindow="0" windowWidth="19380" windowHeight="20970" xr2:uid="{00000000-000D-0000-FFFF-FFFF00000000}"/>
  </bookViews>
  <sheets>
    <sheet name="Grille Evaluation étudiants" sheetId="50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7" i="50" l="1" a="1"/>
  <c r="E17" i="50" s="1"/>
  <c r="E3" i="50" a="1"/>
  <c r="E3" i="50"/>
  <c r="E4" i="50" a="1"/>
  <c r="E4" i="50" s="1"/>
  <c r="E5" i="50" a="1"/>
  <c r="E5" i="50" s="1"/>
  <c r="E6" i="50" a="1"/>
  <c r="E6" i="50" s="1"/>
  <c r="E7" i="50" a="1"/>
  <c r="E7" i="50" s="1"/>
  <c r="E8" i="50" a="1"/>
  <c r="E8" i="50" s="1"/>
  <c r="E9" i="50" a="1"/>
  <c r="E9" i="50" s="1"/>
  <c r="E10" i="50" a="1"/>
  <c r="E10" i="50" s="1"/>
  <c r="E11" i="50" a="1"/>
  <c r="E11" i="50" s="1"/>
  <c r="E12" i="50" a="1"/>
  <c r="E12" i="50" s="1"/>
  <c r="E13" i="50" a="1"/>
  <c r="E13" i="50" s="1"/>
  <c r="E14" i="50" a="1"/>
  <c r="E14" i="50" s="1"/>
  <c r="E15" i="50" a="1"/>
  <c r="E15" i="50" s="1"/>
  <c r="E16" i="50" a="1"/>
  <c r="E16" i="50" s="1"/>
  <c r="E2" i="50" a="1"/>
  <c r="E2" i="50" s="1"/>
  <c r="E23" i="50" l="1"/>
  <c r="E25" i="50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<sst xmlns="http://schemas.openxmlformats.org/spreadsheetml/2006/main" count="82" uniqueCount="80">
  <si>
    <t>Critères</t>
  </si>
  <si>
    <t>Max</t>
  </si>
  <si>
    <t>Description</t>
  </si>
  <si>
    <t>Affichage de la date du jour</t>
  </si>
  <si>
    <t>La date est correctement affichée dans l'interface graphique.</t>
  </si>
  <si>
    <t>Prix de l'électricité</t>
  </si>
  <si>
    <t xml:space="preserve">          - Obtention et stockage des prix de l'électricité</t>
  </si>
  <si>
    <t>Les prix de l'électricité pour la journée à venir sont obtenus de façon automatisée et sont stockés dans la base de données de façon à pouvoir être réutilisés ultérieurement.</t>
  </si>
  <si>
    <t xml:space="preserve">          - Affichage des prix de l'électricité</t>
  </si>
  <si>
    <t>Les prix de l'électricité pour la journée à venir sont affichés sur un graphe clair et  lisible (axes, titre, unités, lisibilité, etc.)</t>
  </si>
  <si>
    <t>Base de données utilisée pour  le stockage d'information</t>
  </si>
  <si>
    <t xml:space="preserve">          - Schéma entités-associations (structure DB)</t>
  </si>
  <si>
    <t>La structure de la base de donnée proposée via le schéma entités-associations est logique et réfléchie. L'étudiant·e arrive à argumenter les choix techniques faits. Toutes les données nécessaires à l'application sont stockées, sans redondances injustifiées. Si pertinent, les cas limites ont été envisagés.</t>
  </si>
  <si>
    <t xml:space="preserve">          - Implémentation de la DB</t>
  </si>
  <si>
    <t>La base de données implémentée correspond à ce qui était prévu par le schéma entités-associations. Elle comprend au moins quatre "machines" et quatre "process". Il y a au moins un process impliquant l'utilisation de deux machines ainsi qu'au moins une machine utilisée par deux process différents.</t>
  </si>
  <si>
    <t xml:space="preserve">          - Modification de la base de données</t>
  </si>
  <si>
    <t xml:space="preserve">La base de donnée peut être modifiée via l'interface graphique. Il est possible de rajouter, modifier ou supprimer des données. </t>
  </si>
  <si>
    <t>Calculs et alertes</t>
  </si>
  <si>
    <t xml:space="preserve">          - Evaluation du coût énergétique</t>
  </si>
  <si>
    <t>Le programme permet de calculer sans erreur le prix associé aux dépenses énergétiques pour un process donné commencé à une heure donnée. Dans le cadre de commandes impliquant plusieurs produits, le détail du prix par produit ainsi que le prix total sont disponibles.</t>
  </si>
  <si>
    <t xml:space="preserve">          - Envoi des emails</t>
  </si>
  <si>
    <t>Une fois une commande validée, un email personnalisé est envoyé aux différentes personnes impliquée dans la production de la commande (opératrices·eurs des machines concernées). Cet email envoyé à l'opérateur contient l'heure de départ de la machine en heure CET.</t>
  </si>
  <si>
    <t xml:space="preserve">          - Alertes de timing</t>
  </si>
  <si>
    <t>Une alerte est générée si une commande validée ne sera pas finie avant la fin de la journée.</t>
  </si>
  <si>
    <t xml:space="preserve">          - Alertes de prix</t>
  </si>
  <si>
    <t>Le programme permet de vérifier que le prix de l'électricité ne descend pas en dessous d'un seuil défini à l'aide de l'interface graphique. Si le prix descend en dessous de ce seuil pour la journée à venir, un alerte est générée. Cette alerte inclut les heures auxquelles le prix de l'électricité est situé sous le seuil programmé.</t>
  </si>
  <si>
    <t>Interface graphique</t>
  </si>
  <si>
    <t>L'interface graphique est propre, claire et aérée. Son utilisation est simple et intuitive. Elle utilise un système d'onglets pour structurer l'information et les différentes parties du programme.</t>
  </si>
  <si>
    <t>Illustration de la PoC</t>
  </si>
  <si>
    <t>L'application choisie comme illustration tient la route. Les ordres de grandeur et le scénario considéré sont crédibles</t>
  </si>
  <si>
    <t>Bonus (+2 max)</t>
  </si>
  <si>
    <t>Fonctionnalités supplémentaires permettant d’obtenir des points en plus.</t>
  </si>
  <si>
    <t xml:space="preserve">          - Planificateur de tâches</t>
  </si>
  <si>
    <t>Le programme propose le moment le plus opportun pour commencer une tâche afin de minimiser le coût de l'énergie.</t>
  </si>
  <si>
    <t xml:space="preserve">          - Vérification de la disponibilité</t>
  </si>
  <si>
    <t>Lorsqu'une commande implique la production de plusieurs produits, le programme vérifie qu'une même machine ou un même opérateur n'est pas nécessaire à l'exécution de deux tâches simultanées.</t>
  </si>
  <si>
    <t xml:space="preserve">          - Alerte de surcoût</t>
  </si>
  <si>
    <t>Le programme prévient automatiquement l'utilisateur·trice si le prix pour un produit donnée dépasse un coût prédéterminé. Ce coût est propre à chaque produit.</t>
  </si>
  <si>
    <t xml:space="preserve">          - Autre (à déterminer)</t>
  </si>
  <si>
    <t>Total temporaire</t>
  </si>
  <si>
    <t>/20</t>
  </si>
  <si>
    <t>Coefficient de maîtrise du code</t>
  </si>
  <si>
    <t>Total</t>
  </si>
  <si>
    <t>Etudiant·e 1</t>
  </si>
  <si>
    <t>Etudiant·e 2</t>
  </si>
  <si>
    <t>commandes prix</t>
  </si>
  <si>
    <t>Gui.py</t>
  </si>
  <si>
    <t>commandes prix, charger et afficher les prix</t>
  </si>
  <si>
    <t>gui</t>
  </si>
  <si>
    <t>plot</t>
  </si>
  <si>
    <t>utils.py 6</t>
  </si>
  <si>
    <t>deed.data/database.py/voodoo.db</t>
  </si>
  <si>
    <t>database</t>
  </si>
  <si>
    <t>Adda Sabir 23027</t>
  </si>
  <si>
    <t>Bentirhi Ibrahim 23264</t>
  </si>
  <si>
    <t>Modifier l'action correspondant à un bouton</t>
  </si>
  <si>
    <t>Ajouter un nouveau bouton qui réalise une action simple tel que: </t>
  </si>
  <si>
    <t>faire une requête simple vers la db</t>
  </si>
  <si>
    <t>faire une requête simple vers l'api</t>
  </si>
  <si>
    <t>faire apparaitre un texte dans l'interface</t>
  </si>
  <si>
    <t>Ajouter un champs à une table de la db et au formulaire qui permet de rajouter des éléments de cette table</t>
  </si>
  <si>
    <t>Créer un nouvelle table avec un ou deux champs et avec quelques données (via db browser) et afficher son contenu dans l'interface.</t>
  </si>
  <si>
    <t>tu vas dans designer tu regardes le label du boutons et tu cherches dans gui.py et tu changes sa fct</t>
  </si>
  <si>
    <t>pyside6-designer ajoute un btn et mets le nom du label en modifbtn</t>
  </si>
  <si>
    <t>tu mets cette commande dans init</t>
  </si>
  <si>
    <t>ajoute avec gendbmodule un champ TEXT à machine puis avec designer ajoute un Line Edit que t'apl modifM puis dans gui.py ajoute un argument à ajouter_machine(self.nomM.text(), self.operM.text(), self.mailM.text(), self.modifM.text())</t>
  </si>
  <si>
    <t>Label=nom     Line Edit=argument</t>
  </si>
  <si>
    <t xml:space="preserve">créer table modif ajouter age en integer va dans designer tu ajoutes un TableWidget que t'apl tablemodif puis dans refresh_all tu ajoutes </t>
  </si>
  <si>
    <r>
      <t>self</t>
    </r>
    <r>
      <rPr>
        <sz val="11"/>
        <color rgb="FFD4D4D4"/>
        <rFont val="Consolas"/>
        <family val="3"/>
      </rPr>
      <t>.</t>
    </r>
    <r>
      <rPr>
        <sz val="11"/>
        <color rgb="FFDCDCAA"/>
        <rFont val="Consolas"/>
        <family val="3"/>
      </rPr>
      <t>_remplir</t>
    </r>
    <r>
      <rPr>
        <sz val="11"/>
        <color rgb="FFD4D4D4"/>
        <rFont val="Consolas"/>
        <family val="3"/>
      </rPr>
      <t>(</t>
    </r>
    <r>
      <rPr>
        <sz val="11"/>
        <color rgb="FF9CDCFE"/>
        <rFont val="Consolas"/>
        <family val="3"/>
      </rPr>
      <t>self</t>
    </r>
    <r>
      <rPr>
        <sz val="11"/>
        <color rgb="FFD4D4D4"/>
        <rFont val="Consolas"/>
        <family val="3"/>
      </rPr>
      <t>.tablemodif, get_modif())</t>
    </r>
  </si>
  <si>
    <r>
      <rPr>
        <sz val="11"/>
        <color rgb="FF9CDCFE"/>
        <rFont val="Consolas"/>
        <family val="3"/>
      </rPr>
      <t>self</t>
    </r>
    <r>
      <rPr>
        <sz val="11"/>
        <color rgb="FFD4D4D4"/>
        <rFont val="Consolas"/>
        <family val="3"/>
      </rPr>
      <t>.modifbtn.clicked.connect(</t>
    </r>
    <r>
      <rPr>
        <sz val="11"/>
        <color rgb="FF9CDCFE"/>
        <rFont val="Consolas"/>
        <family val="3"/>
      </rPr>
      <t>self</t>
    </r>
    <r>
      <rPr>
        <sz val="11"/>
        <color rgb="FFD4D4D4"/>
        <rFont val="Consolas"/>
        <family val="3"/>
      </rPr>
      <t>.</t>
    </r>
    <r>
      <rPr>
        <sz val="11"/>
        <color rgb="FFDCDCAA"/>
        <rFont val="Consolas"/>
        <family val="3"/>
      </rPr>
      <t>refresh_all</t>
    </r>
    <r>
      <rPr>
        <sz val="11"/>
        <color rgb="FFD4D4D4"/>
        <rFont val="Consolas"/>
        <family val="3"/>
      </rPr>
      <t>)</t>
    </r>
  </si>
  <si>
    <r>
      <t>self</t>
    </r>
    <r>
      <rPr>
        <sz val="11"/>
        <color rgb="FFD4D4D4"/>
        <rFont val="Consolas"/>
        <family val="3"/>
      </rPr>
      <t>.modifbtn.clicked.connect(</t>
    </r>
    <r>
      <rPr>
        <sz val="11"/>
        <color rgb="FF9CDCFE"/>
        <rFont val="Consolas"/>
        <family val="3"/>
      </rPr>
      <t>self</t>
    </r>
    <r>
      <rPr>
        <sz val="11"/>
        <color rgb="FFD4D4D4"/>
        <rFont val="Consolas"/>
        <family val="3"/>
      </rPr>
      <t>.</t>
    </r>
    <r>
      <rPr>
        <sz val="11"/>
        <color rgb="FFDCDCAA"/>
        <rFont val="Consolas"/>
        <family val="3"/>
      </rPr>
      <t>charger_prix</t>
    </r>
    <r>
      <rPr>
        <sz val="11"/>
        <color rgb="FFD4D4D4"/>
        <rFont val="Consolas"/>
        <family val="3"/>
      </rPr>
      <t>)</t>
    </r>
  </si>
  <si>
    <r>
      <rPr>
        <sz val="11"/>
        <color rgb="FF9CDCFE"/>
        <rFont val="Consolas"/>
        <family val="3"/>
      </rPr>
      <t>self</t>
    </r>
    <r>
      <rPr>
        <sz val="11"/>
        <color rgb="FFD4D4D4"/>
        <rFont val="Consolas"/>
        <family val="3"/>
      </rPr>
      <t>.modifbtn.clicked.connect(</t>
    </r>
    <r>
      <rPr>
        <sz val="11"/>
        <color rgb="FF569CD6"/>
        <rFont val="Consolas"/>
        <family val="3"/>
      </rPr>
      <t>lambda</t>
    </r>
    <r>
      <rPr>
        <sz val="11"/>
        <color rgb="FFD4D4D4"/>
        <rFont val="Consolas"/>
        <family val="3"/>
      </rPr>
      <t>:</t>
    </r>
    <r>
      <rPr>
        <sz val="11"/>
        <color rgb="FF4EC9B0"/>
        <rFont val="Consolas"/>
        <family val="3"/>
      </rPr>
      <t>QMessageBox</t>
    </r>
    <r>
      <rPr>
        <sz val="11"/>
        <color rgb="FFD4D4D4"/>
        <rFont val="Consolas"/>
        <family val="3"/>
      </rPr>
      <t>.</t>
    </r>
    <r>
      <rPr>
        <sz val="11"/>
        <color rgb="FFDCDCAA"/>
        <rFont val="Consolas"/>
        <family val="3"/>
      </rPr>
      <t>information</t>
    </r>
    <r>
      <rPr>
        <sz val="11"/>
        <color rgb="FFD4D4D4"/>
        <rFont val="Consolas"/>
        <family val="3"/>
      </rPr>
      <t>(</t>
    </r>
    <r>
      <rPr>
        <sz val="11"/>
        <color rgb="FF9CDCFE"/>
        <rFont val="Consolas"/>
        <family val="3"/>
      </rPr>
      <t>self</t>
    </r>
    <r>
      <rPr>
        <sz val="11"/>
        <color rgb="FFD4D4D4"/>
        <rFont val="Consolas"/>
        <family val="3"/>
      </rPr>
      <t xml:space="preserve">, </t>
    </r>
    <r>
      <rPr>
        <sz val="11"/>
        <color rgb="FFCE9178"/>
        <rFont val="Consolas"/>
        <family val="3"/>
      </rPr>
      <t>"Information"</t>
    </r>
    <r>
      <rPr>
        <sz val="11"/>
        <color rgb="FFD4D4D4"/>
        <rFont val="Consolas"/>
        <family val="3"/>
      </rPr>
      <t xml:space="preserve">, </t>
    </r>
    <r>
      <rPr>
        <sz val="11"/>
        <color rgb="FFCE9178"/>
        <rFont val="Consolas"/>
        <family val="3"/>
      </rPr>
      <t>"IZANE !"</t>
    </r>
    <r>
      <rPr>
        <sz val="11"/>
        <color rgb="FFD4D4D4"/>
        <rFont val="Consolas"/>
        <family val="3"/>
      </rPr>
      <t>))</t>
    </r>
  </si>
  <si>
    <r>
      <t>def</t>
    </r>
    <r>
      <rPr>
        <sz val="11"/>
        <color rgb="FFD4D4D4"/>
        <rFont val="Consolas"/>
        <family val="3"/>
      </rPr>
      <t xml:space="preserve"> </t>
    </r>
    <r>
      <rPr>
        <sz val="11"/>
        <color rgb="FFDCDCAA"/>
        <rFont val="Consolas"/>
        <family val="3"/>
      </rPr>
      <t>get_modif</t>
    </r>
    <r>
      <rPr>
        <sz val="11"/>
        <color rgb="FFD4D4D4"/>
        <rFont val="Consolas"/>
        <family val="3"/>
      </rPr>
      <t>():</t>
    </r>
  </si>
  <si>
    <r>
      <t xml:space="preserve">    </t>
    </r>
    <r>
      <rPr>
        <sz val="11"/>
        <color rgb="FF9CDCFE"/>
        <rFont val="Consolas"/>
        <family val="3"/>
      </rPr>
      <t>conn</t>
    </r>
    <r>
      <rPr>
        <sz val="11"/>
        <color rgb="FFD4D4D4"/>
        <rFont val="Consolas"/>
        <family val="3"/>
      </rPr>
      <t xml:space="preserve"> = </t>
    </r>
    <r>
      <rPr>
        <sz val="11"/>
        <color rgb="FF4EC9B0"/>
        <rFont val="Consolas"/>
        <family val="3"/>
      </rPr>
      <t>sqlite3</t>
    </r>
    <r>
      <rPr>
        <sz val="11"/>
        <color rgb="FFD4D4D4"/>
        <rFont val="Consolas"/>
        <family val="3"/>
      </rPr>
      <t>.</t>
    </r>
    <r>
      <rPr>
        <sz val="11"/>
        <color rgb="FFDCDCAA"/>
        <rFont val="Consolas"/>
        <family val="3"/>
      </rPr>
      <t>connect</t>
    </r>
    <r>
      <rPr>
        <sz val="11"/>
        <color rgb="FFD4D4D4"/>
        <rFont val="Consolas"/>
        <family val="3"/>
      </rPr>
      <t>(</t>
    </r>
    <r>
      <rPr>
        <sz val="11"/>
        <color rgb="FFCE9178"/>
        <rFont val="Consolas"/>
        <family val="3"/>
      </rPr>
      <t>"voodoo.db"</t>
    </r>
    <r>
      <rPr>
        <sz val="11"/>
        <color rgb="FFD4D4D4"/>
        <rFont val="Consolas"/>
        <family val="3"/>
      </rPr>
      <t>)</t>
    </r>
  </si>
  <si>
    <r>
      <t xml:space="preserve">    </t>
    </r>
    <r>
      <rPr>
        <sz val="11"/>
        <color rgb="FF9CDCFE"/>
        <rFont val="Consolas"/>
        <family val="3"/>
      </rPr>
      <t>df</t>
    </r>
    <r>
      <rPr>
        <sz val="11"/>
        <color rgb="FFD4D4D4"/>
        <rFont val="Consolas"/>
        <family val="3"/>
      </rPr>
      <t xml:space="preserve"> = </t>
    </r>
    <r>
      <rPr>
        <sz val="11"/>
        <color rgb="FF4EC9B0"/>
        <rFont val="Consolas"/>
        <family val="3"/>
      </rPr>
      <t>pd</t>
    </r>
    <r>
      <rPr>
        <sz val="11"/>
        <color rgb="FFD4D4D4"/>
        <rFont val="Consolas"/>
        <family val="3"/>
      </rPr>
      <t>.</t>
    </r>
    <r>
      <rPr>
        <sz val="11"/>
        <color rgb="FFDCDCAA"/>
        <rFont val="Consolas"/>
        <family val="3"/>
      </rPr>
      <t>read_sql_query</t>
    </r>
    <r>
      <rPr>
        <sz val="11"/>
        <color rgb="FFD4D4D4"/>
        <rFont val="Consolas"/>
        <family val="3"/>
      </rPr>
      <t>(</t>
    </r>
    <r>
      <rPr>
        <sz val="11"/>
        <color rgb="FFCE9178"/>
        <rFont val="Consolas"/>
        <family val="3"/>
      </rPr>
      <t>"SELECT * FROM modif"</t>
    </r>
    <r>
      <rPr>
        <sz val="11"/>
        <color rgb="FFD4D4D4"/>
        <rFont val="Consolas"/>
        <family val="3"/>
      </rPr>
      <t xml:space="preserve">, </t>
    </r>
    <r>
      <rPr>
        <sz val="11"/>
        <color rgb="FF9CDCFE"/>
        <rFont val="Consolas"/>
        <family val="3"/>
      </rPr>
      <t>conn</t>
    </r>
    <r>
      <rPr>
        <sz val="11"/>
        <color rgb="FFD4D4D4"/>
        <rFont val="Consolas"/>
        <family val="3"/>
      </rPr>
      <t>)</t>
    </r>
  </si>
  <si>
    <r>
      <t xml:space="preserve">    </t>
    </r>
    <r>
      <rPr>
        <sz val="11"/>
        <color rgb="FF9CDCFE"/>
        <rFont val="Consolas"/>
        <family val="3"/>
      </rPr>
      <t>conn</t>
    </r>
    <r>
      <rPr>
        <sz val="11"/>
        <color rgb="FFD4D4D4"/>
        <rFont val="Consolas"/>
        <family val="3"/>
      </rPr>
      <t>.</t>
    </r>
    <r>
      <rPr>
        <sz val="11"/>
        <color rgb="FFDCDCAA"/>
        <rFont val="Consolas"/>
        <family val="3"/>
      </rPr>
      <t>close</t>
    </r>
    <r>
      <rPr>
        <sz val="11"/>
        <color rgb="FFD4D4D4"/>
        <rFont val="Consolas"/>
        <family val="3"/>
      </rPr>
      <t>()</t>
    </r>
  </si>
  <si>
    <r>
      <t xml:space="preserve">    </t>
    </r>
    <r>
      <rPr>
        <sz val="11"/>
        <color rgb="FFC586C0"/>
        <rFont val="Consolas"/>
        <family val="3"/>
      </rPr>
      <t>return</t>
    </r>
    <r>
      <rPr>
        <sz val="11"/>
        <color rgb="FFD4D4D4"/>
        <rFont val="Consolas"/>
        <family val="3"/>
      </rPr>
      <t xml:space="preserve"> </t>
    </r>
    <r>
      <rPr>
        <sz val="11"/>
        <color rgb="FF9CDCFE"/>
        <rFont val="Consolas"/>
        <family val="3"/>
      </rPr>
      <t>df</t>
    </r>
  </si>
  <si>
    <r>
      <t>self</t>
    </r>
    <r>
      <rPr>
        <sz val="11"/>
        <color rgb="FFD4D4D4"/>
        <rFont val="Consolas"/>
        <family val="3"/>
      </rPr>
      <t>.</t>
    </r>
    <r>
      <rPr>
        <sz val="11"/>
        <color rgb="FFDCDCAA"/>
        <rFont val="Consolas"/>
        <family val="3"/>
      </rPr>
      <t>_remplir</t>
    </r>
    <r>
      <rPr>
        <sz val="11"/>
        <color rgb="FFD4D4D4"/>
        <rFont val="Consolas"/>
        <family val="3"/>
      </rPr>
      <t>(</t>
    </r>
    <r>
      <rPr>
        <sz val="11"/>
        <color rgb="FF9CDCFE"/>
        <rFont val="Consolas"/>
        <family val="3"/>
      </rPr>
      <t>self</t>
    </r>
    <r>
      <rPr>
        <sz val="11"/>
        <color rgb="FFD4D4D4"/>
        <rFont val="Consolas"/>
        <family val="3"/>
      </rPr>
      <t xml:space="preserve">.tablemodif, </t>
    </r>
    <r>
      <rPr>
        <sz val="11"/>
        <color rgb="FFDCDCAA"/>
        <rFont val="Consolas"/>
        <family val="3"/>
      </rPr>
      <t>get_modif</t>
    </r>
    <r>
      <rPr>
        <sz val="11"/>
        <color rgb="FFD4D4D4"/>
        <rFont val="Consolas"/>
        <family val="3"/>
      </rPr>
      <t>())</t>
    </r>
  </si>
  <si>
    <t>gui.py</t>
  </si>
  <si>
    <t>Supprimer voodoo.db et ouvrir seed data modif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</si>
</sst>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D4D4D4"/>
      <name val="Consolas"/>
      <family val="3"/>
    </font>
    <font>
      <sz val="11"/>
      <color rgb="FF9CDCFE"/>
      <name val="Consolas"/>
      <family val="3"/>
    </font>
    <font>
      <sz val="11"/>
      <color rgb="FFDCDCAA"/>
      <name val="Consolas"/>
      <family val="3"/>
    </font>
    <font>
      <sz val="11"/>
      <name val="Calibri"/>
      <family val="2"/>
      <scheme val="minor"/>
    </font>
    <font>
      <sz val="11"/>
      <name val="Segoe UI"/>
      <family val="2"/>
    </font>
    <font>
      <sz val="11"/>
      <color rgb="FF4EC9B0"/>
      <name val="Consolas"/>
      <family val="3"/>
    </font>
    <font>
      <sz val="11"/>
      <color rgb="FFCE9178"/>
      <name val="Consolas"/>
      <family val="3"/>
    </font>
    <font>
      <sz val="11"/>
      <color rgb="FF569CD6"/>
      <name val="Consolas"/>
      <family val="3"/>
    </font>
    <font>
      <sz val="11"/>
      <color rgb="FFC586C0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0">
    <border>
      <left/>
      <right/>
      <top/>
      <bottom/>
      <diagonal/>
    </border>
    <border>
      <left/>
      <right/>
      <top style="thick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ck">
        <color indexed="64"/>
      </left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1" xfId="0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4" xfId="0" applyBorder="1"/>
    <xf numFmtId="0" fontId="1" fillId="0" borderId="8" xfId="0" applyFont="1" applyBorder="1" applyAlignment="1">
      <alignment horizontal="left" vertical="center"/>
    </xf>
    <xf numFmtId="0" fontId="1" fillId="0" borderId="9" xfId="0" applyFont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0" fillId="0" borderId="11" xfId="0" applyBorder="1" applyAlignment="1">
      <alignment horizontal="left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12" xfId="0" applyBorder="1" applyAlignment="1">
      <alignment horizontal="left" vertical="center"/>
    </xf>
    <xf numFmtId="0" fontId="0" fillId="0" borderId="13" xfId="0" applyBorder="1" applyAlignment="1">
      <alignment horizontal="left" vertical="center"/>
    </xf>
    <xf numFmtId="0" fontId="0" fillId="0" borderId="14" xfId="0" applyBorder="1" applyAlignment="1">
      <alignment horizontal="left" vertical="center"/>
    </xf>
    <xf numFmtId="0" fontId="0" fillId="0" borderId="15" xfId="0" applyBorder="1" applyAlignment="1">
      <alignment horizontal="left" vertical="center"/>
    </xf>
    <xf numFmtId="0" fontId="0" fillId="0" borderId="3" xfId="0" applyBorder="1" applyAlignment="1">
      <alignment horizontal="left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16" xfId="0" applyBorder="1" applyAlignment="1">
      <alignment horizontal="left" vertical="center"/>
    </xf>
    <xf numFmtId="0" fontId="0" fillId="0" borderId="17" xfId="0" applyBorder="1" applyAlignment="1">
      <alignment horizontal="left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18" xfId="0" applyBorder="1" applyAlignment="1">
      <alignment horizontal="left" vertical="center"/>
    </xf>
    <xf numFmtId="0" fontId="0" fillId="0" borderId="19" xfId="0" applyBorder="1" applyAlignment="1">
      <alignment horizontal="left" vertical="center"/>
    </xf>
    <xf numFmtId="0" fontId="0" fillId="0" borderId="12" xfId="0" applyBorder="1" applyAlignment="1">
      <alignment horizontal="left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1" fillId="0" borderId="4" xfId="0" applyFont="1" applyBorder="1" applyAlignment="1">
      <alignment horizontal="left" vertical="center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0" fillId="2" borderId="6" xfId="0" quotePrefix="1" applyFill="1" applyBorder="1" applyAlignment="1">
      <alignment horizontal="left" vertical="center"/>
    </xf>
    <xf numFmtId="0" fontId="0" fillId="2" borderId="3" xfId="0" applyFill="1" applyBorder="1" applyAlignment="1">
      <alignment horizontal="left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2" borderId="0" xfId="0" applyFill="1" applyAlignment="1">
      <alignment horizontal="left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2" borderId="16" xfId="0" applyFill="1" applyBorder="1" applyAlignment="1">
      <alignment horizontal="left" vertical="center"/>
    </xf>
    <xf numFmtId="0" fontId="0" fillId="2" borderId="6" xfId="0" applyFill="1" applyBorder="1" applyAlignment="1">
      <alignment horizontal="left" vertical="center"/>
    </xf>
    <xf numFmtId="0" fontId="0" fillId="2" borderId="6" xfId="0" applyFill="1" applyBorder="1" applyAlignment="1">
      <alignment horizontal="left" vertical="center" wrapText="1"/>
    </xf>
    <xf numFmtId="0" fontId="0" fillId="2" borderId="0" xfId="0" applyFill="1"/>
    <xf numFmtId="0" fontId="0" fillId="2" borderId="7" xfId="0" applyFill="1" applyBorder="1" applyAlignment="1">
      <alignment horizontal="left" vertical="center"/>
    </xf>
    <xf numFmtId="0" fontId="0" fillId="2" borderId="17" xfId="0" applyFill="1" applyBorder="1" applyAlignment="1">
      <alignment horizontal="left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2" borderId="18" xfId="0" applyFill="1" applyBorder="1" applyAlignment="1">
      <alignment horizontal="left" vertical="center"/>
    </xf>
    <xf numFmtId="0" fontId="0" fillId="2" borderId="19" xfId="0" applyFill="1" applyBorder="1" applyAlignment="1">
      <alignment horizontal="left" vertical="center"/>
    </xf>
    <xf numFmtId="0" fontId="0" fillId="2" borderId="7" xfId="0" applyFill="1" applyBorder="1" applyAlignment="1">
      <alignment horizontal="left" vertical="center" wrapText="1"/>
    </xf>
    <xf numFmtId="0" fontId="0" fillId="2" borderId="16" xfId="0" applyFill="1" applyBorder="1" applyAlignment="1">
      <alignment horizontal="left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2" borderId="0" xfId="0" quotePrefix="1" applyFill="1" applyAlignment="1">
      <alignment horizontal="left" vertical="center"/>
    </xf>
    <xf numFmtId="0" fontId="0" fillId="2" borderId="0" xfId="0" applyFill="1" applyAlignment="1">
      <alignment horizontal="left" vertical="center"/>
    </xf>
    <xf numFmtId="0" fontId="0" fillId="0" borderId="7" xfId="0" applyBorder="1"/>
    <xf numFmtId="0" fontId="0" fillId="2" borderId="5" xfId="0" applyFill="1" applyBorder="1" applyAlignment="1">
      <alignment horizontal="left" vertical="center"/>
    </xf>
    <xf numFmtId="0" fontId="3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5" fillId="0" borderId="0" xfId="0" applyFont="1"/>
    <xf numFmtId="0" fontId="6" fillId="0" borderId="0" xfId="0" applyFont="1" applyAlignment="1">
      <alignment horizontal="left" vertical="center" wrapText="1" indent="1"/>
    </xf>
    <xf numFmtId="0" fontId="6" fillId="0" borderId="0" xfId="0" applyFont="1" applyAlignment="1">
      <alignment horizontal="left" vertical="center" wrapText="1" indent="2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9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styles" Target="styles.xml"/><Relationship Id="rId7" Type="http://schemas.openxmlformats.org/officeDocument/2006/relationships/calcChain" Target="calcChain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1/relationships/FeaturePropertyBag" Target="featurePropertyBag/featurePropertyBag.xml"/><Relationship Id="rId5" Type="http://schemas.openxmlformats.org/officeDocument/2006/relationships/sheetMetadata" Target="metadata.xml"/><Relationship Id="rId10" Type="http://schemas.openxmlformats.org/officeDocument/2006/relationships/customXml" Target="../customXml/item3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2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BF49D2-F069-42B5-A495-A4EA8D274E32}">
  <dimension ref="A1:S57"/>
  <sheetViews>
    <sheetView tabSelected="1" topLeftCell="B13" zoomScaleNormal="100" workbookViewId="0">
      <selection activeCell="G38" sqref="G38"/>
    </sheetView>
  </sheetViews>
  <sheetFormatPr baseColWidth="10" defaultColWidth="8.85546875" defaultRowHeight="15" x14ac:dyDescent="0.25"/>
  <cols>
    <col min="1" max="1" width="57" customWidth="1"/>
    <col min="2" max="4" width="3.140625" bestFit="1" customWidth="1"/>
    <col min="5" max="5" width="7.42578125" customWidth="1"/>
    <col min="6" max="6" width="4.7109375" bestFit="1" customWidth="1"/>
    <col min="7" max="7" width="108.7109375" customWidth="1"/>
    <col min="10" max="10" width="49.28515625" customWidth="1"/>
    <col min="14" max="14" width="7.7109375" customWidth="1"/>
    <col min="15" max="15" width="3.5703125" hidden="1" customWidth="1"/>
    <col min="16" max="16" width="5.7109375" hidden="1" customWidth="1"/>
    <col min="17" max="17" width="8.85546875" hidden="1" customWidth="1"/>
    <col min="19" max="19" width="69.42578125" customWidth="1"/>
  </cols>
  <sheetData>
    <row r="1" spans="1:12" ht="16.5" thickTop="1" thickBot="1" x14ac:dyDescent="0.3">
      <c r="A1" s="5" t="s">
        <v>0</v>
      </c>
      <c r="B1" s="11"/>
      <c r="C1" s="12"/>
      <c r="D1" s="13"/>
      <c r="E1" s="1"/>
      <c r="F1" s="25" t="s">
        <v>1</v>
      </c>
      <c r="G1" s="25" t="s">
        <v>2</v>
      </c>
    </row>
    <row r="2" spans="1:12" ht="16.5" thickTop="1" thickBot="1" x14ac:dyDescent="0.3">
      <c r="A2" s="6" t="s">
        <v>3</v>
      </c>
      <c r="B2" s="14" t="b">
        <v>1</v>
      </c>
      <c r="C2" s="15"/>
      <c r="D2" s="16"/>
      <c r="E2" s="6" cm="1">
        <f t="array" ref="E2">SUM(B2:D2*1)</f>
        <v>1</v>
      </c>
      <c r="F2" s="6">
        <v>1</v>
      </c>
      <c r="G2" s="29" t="s">
        <v>4</v>
      </c>
      <c r="H2" t="s">
        <v>45</v>
      </c>
      <c r="J2" t="s">
        <v>46</v>
      </c>
      <c r="K2">
        <v>143</v>
      </c>
    </row>
    <row r="3" spans="1:12" ht="16.5" thickTop="1" thickBot="1" x14ac:dyDescent="0.3">
      <c r="A3" s="7" t="s">
        <v>5</v>
      </c>
      <c r="B3" s="17"/>
      <c r="C3" s="4"/>
      <c r="D3" s="18"/>
      <c r="E3" s="6" cm="1">
        <f t="array" ref="E3">SUM(B3:D3*1)</f>
        <v>0</v>
      </c>
      <c r="F3" s="7"/>
      <c r="G3" s="26"/>
    </row>
    <row r="4" spans="1:12" s="36" customFormat="1" ht="31.5" thickTop="1" thickBot="1" x14ac:dyDescent="0.3">
      <c r="A4" s="30" t="s">
        <v>6</v>
      </c>
      <c r="B4" s="31" t="b">
        <v>1</v>
      </c>
      <c r="C4" s="32" t="b">
        <v>1</v>
      </c>
      <c r="D4" s="33"/>
      <c r="E4" s="6" cm="1">
        <f t="array" ref="E4">SUM(B4:D4*1)</f>
        <v>2</v>
      </c>
      <c r="F4" s="34">
        <v>2</v>
      </c>
      <c r="G4" s="35" t="s">
        <v>7</v>
      </c>
      <c r="H4" s="36" t="s">
        <v>47</v>
      </c>
      <c r="L4" s="36" t="s">
        <v>48</v>
      </c>
    </row>
    <row r="5" spans="1:12" ht="31.5" thickTop="1" thickBot="1" x14ac:dyDescent="0.3">
      <c r="A5" s="8" t="s">
        <v>8</v>
      </c>
      <c r="B5" s="21" t="b">
        <v>1</v>
      </c>
      <c r="C5" s="22"/>
      <c r="D5" s="23"/>
      <c r="E5" s="6" cm="1">
        <f t="array" ref="E5">SUM(B5:D5*1)</f>
        <v>1</v>
      </c>
      <c r="F5" s="8">
        <v>1</v>
      </c>
      <c r="G5" s="28" t="s">
        <v>9</v>
      </c>
      <c r="H5" t="s">
        <v>49</v>
      </c>
      <c r="I5" t="s">
        <v>50</v>
      </c>
    </row>
    <row r="6" spans="1:12" ht="16.5" thickTop="1" thickBot="1" x14ac:dyDescent="0.3">
      <c r="A6" s="7" t="s">
        <v>10</v>
      </c>
      <c r="B6" s="17"/>
      <c r="C6" s="4"/>
      <c r="D6" s="18"/>
      <c r="E6" s="6" cm="1">
        <f t="array" ref="E6">SUM(B6:D6*1)</f>
        <v>0</v>
      </c>
      <c r="F6" s="7"/>
      <c r="G6" s="26"/>
    </row>
    <row r="7" spans="1:12" s="36" customFormat="1" ht="46.5" thickTop="1" thickBot="1" x14ac:dyDescent="0.3">
      <c r="A7" s="34" t="s">
        <v>11</v>
      </c>
      <c r="B7" s="31" t="b">
        <v>1</v>
      </c>
      <c r="C7" s="32" t="b">
        <v>1</v>
      </c>
      <c r="D7" s="33"/>
      <c r="E7" s="6" cm="1">
        <f t="array" ref="E7">SUM(B7:D7*1)</f>
        <v>2</v>
      </c>
      <c r="F7" s="34">
        <v>2</v>
      </c>
      <c r="G7" s="35" t="s">
        <v>12</v>
      </c>
    </row>
    <row r="8" spans="1:12" ht="46.5" thickTop="1" thickBot="1" x14ac:dyDescent="0.3">
      <c r="A8" s="9" t="s">
        <v>13</v>
      </c>
      <c r="B8" s="19" t="b">
        <v>1</v>
      </c>
      <c r="C8" s="2"/>
      <c r="D8" s="20"/>
      <c r="E8" s="6" cm="1">
        <f t="array" ref="E8">SUM(B8:D8*1)</f>
        <v>1</v>
      </c>
      <c r="F8" s="9">
        <v>1</v>
      </c>
      <c r="G8" s="27" t="s">
        <v>14</v>
      </c>
      <c r="H8" t="s">
        <v>51</v>
      </c>
    </row>
    <row r="9" spans="1:12" s="36" customFormat="1" ht="31.5" thickTop="1" thickBot="1" x14ac:dyDescent="0.3">
      <c r="A9" s="37" t="s">
        <v>15</v>
      </c>
      <c r="B9" s="38" t="b">
        <v>1</v>
      </c>
      <c r="C9" s="39"/>
      <c r="D9" s="40"/>
      <c r="E9" s="6" cm="1">
        <f t="array" ref="E9">SUM(B9:D9*1)</f>
        <v>1</v>
      </c>
      <c r="F9" s="37">
        <v>1</v>
      </c>
      <c r="G9" s="41" t="s">
        <v>16</v>
      </c>
      <c r="H9" s="36" t="s">
        <v>52</v>
      </c>
    </row>
    <row r="10" spans="1:12" ht="16.5" thickTop="1" thickBot="1" x14ac:dyDescent="0.3">
      <c r="A10" s="7" t="s">
        <v>17</v>
      </c>
      <c r="B10" s="17"/>
      <c r="C10" s="4"/>
      <c r="D10" s="18"/>
      <c r="E10" s="6" cm="1">
        <f t="array" ref="E10">SUM(B10:D10*1)</f>
        <v>0</v>
      </c>
      <c r="F10" s="7"/>
      <c r="G10" s="26"/>
    </row>
    <row r="11" spans="1:12" s="36" customFormat="1" ht="46.5" thickTop="1" thickBot="1" x14ac:dyDescent="0.3">
      <c r="A11" s="34" t="s">
        <v>18</v>
      </c>
      <c r="B11" s="31" t="b">
        <v>1</v>
      </c>
      <c r="C11" s="32" t="b">
        <v>1</v>
      </c>
      <c r="D11" s="42" t="b">
        <v>1</v>
      </c>
      <c r="E11" s="6" cm="1">
        <f t="array" ref="E11">SUM(B11:D11*1)</f>
        <v>3</v>
      </c>
      <c r="F11" s="34">
        <v>3</v>
      </c>
      <c r="G11" s="35" t="s">
        <v>19</v>
      </c>
    </row>
    <row r="12" spans="1:12" ht="46.5" thickTop="1" thickBot="1" x14ac:dyDescent="0.3">
      <c r="A12" s="9" t="s">
        <v>20</v>
      </c>
      <c r="B12" s="19" t="b">
        <v>1</v>
      </c>
      <c r="C12" s="3" t="b">
        <v>1</v>
      </c>
      <c r="D12" s="20"/>
      <c r="E12" s="6" cm="1">
        <f t="array" ref="E12">SUM(B12:D12*1)</f>
        <v>2</v>
      </c>
      <c r="F12" s="9">
        <v>2</v>
      </c>
      <c r="G12" s="27" t="s">
        <v>21</v>
      </c>
    </row>
    <row r="13" spans="1:12" s="36" customFormat="1" ht="16.5" thickTop="1" thickBot="1" x14ac:dyDescent="0.3">
      <c r="A13" s="30" t="s">
        <v>22</v>
      </c>
      <c r="B13" s="31" t="b">
        <v>1</v>
      </c>
      <c r="C13" s="43"/>
      <c r="D13" s="33"/>
      <c r="E13" s="6" cm="1">
        <f t="array" ref="E13">SUM(B13:D13*1)</f>
        <v>1</v>
      </c>
      <c r="F13" s="34">
        <v>1</v>
      </c>
      <c r="G13" s="35" t="s">
        <v>23</v>
      </c>
    </row>
    <row r="14" spans="1:12" ht="46.5" thickTop="1" thickBot="1" x14ac:dyDescent="0.3">
      <c r="A14" s="8" t="s">
        <v>24</v>
      </c>
      <c r="B14" s="21" t="b">
        <v>1</v>
      </c>
      <c r="C14" s="22"/>
      <c r="D14" s="23"/>
      <c r="E14" s="6" cm="1">
        <f t="array" ref="E14">SUM(B14:D14*1)</f>
        <v>1</v>
      </c>
      <c r="F14" s="8">
        <v>1</v>
      </c>
      <c r="G14" s="28" t="s">
        <v>25</v>
      </c>
    </row>
    <row r="15" spans="1:12" ht="31.5" thickTop="1" thickBot="1" x14ac:dyDescent="0.3">
      <c r="A15" s="6" t="s">
        <v>26</v>
      </c>
      <c r="B15" s="14" t="b">
        <v>1</v>
      </c>
      <c r="C15" s="24" t="b">
        <v>1</v>
      </c>
      <c r="D15" s="16"/>
      <c r="E15" s="6" cm="1">
        <f t="array" ref="E15">SUM(B15:D15*1)</f>
        <v>2</v>
      </c>
      <c r="F15" s="6">
        <v>2</v>
      </c>
      <c r="G15" s="29" t="s">
        <v>27</v>
      </c>
    </row>
    <row r="16" spans="1:12" ht="16.5" thickTop="1" thickBot="1" x14ac:dyDescent="0.3">
      <c r="A16" s="6" t="s">
        <v>28</v>
      </c>
      <c r="B16" s="14" t="b">
        <v>1</v>
      </c>
      <c r="C16" s="15"/>
      <c r="D16" s="16"/>
      <c r="E16" s="6" cm="1">
        <f t="array" ref="E16">SUM(B16:D16*1)</f>
        <v>1</v>
      </c>
      <c r="F16" s="6">
        <v>1</v>
      </c>
      <c r="G16" s="29" t="s">
        <v>29</v>
      </c>
    </row>
    <row r="17" spans="1:7" ht="16.5" thickTop="1" thickBot="1" x14ac:dyDescent="0.3">
      <c r="A17" s="7" t="s">
        <v>30</v>
      </c>
      <c r="B17" s="17"/>
      <c r="C17" s="4"/>
      <c r="D17" s="18"/>
      <c r="E17" s="7" cm="1">
        <f t="array" ref="E17">MIN(SUM(B17:B22*1), 2)</f>
        <v>2</v>
      </c>
      <c r="F17" s="7">
        <v>2</v>
      </c>
      <c r="G17" s="26" t="s">
        <v>31</v>
      </c>
    </row>
    <row r="18" spans="1:7" s="36" customFormat="1" ht="15.75" thickTop="1" x14ac:dyDescent="0.25">
      <c r="A18" s="34" t="s">
        <v>32</v>
      </c>
      <c r="B18" s="31" t="b">
        <v>1</v>
      </c>
      <c r="C18" s="44"/>
      <c r="D18" s="44"/>
      <c r="E18" s="46"/>
      <c r="F18" s="33"/>
      <c r="G18" s="35" t="s">
        <v>33</v>
      </c>
    </row>
    <row r="19" spans="1:7" ht="30" x14ac:dyDescent="0.25">
      <c r="A19" s="9" t="s">
        <v>34</v>
      </c>
      <c r="B19" s="19" t="b">
        <v>1</v>
      </c>
      <c r="C19" s="2"/>
      <c r="D19" s="2"/>
      <c r="E19" s="9"/>
      <c r="F19" s="20"/>
      <c r="G19" s="27" t="s">
        <v>35</v>
      </c>
    </row>
    <row r="20" spans="1:7" s="36" customFormat="1" ht="30" x14ac:dyDescent="0.25">
      <c r="A20" s="34" t="s">
        <v>36</v>
      </c>
      <c r="B20" s="31" t="b">
        <v>0</v>
      </c>
      <c r="C20" s="44"/>
      <c r="D20" s="44"/>
      <c r="E20" s="34"/>
      <c r="F20" s="33"/>
      <c r="G20" s="35" t="s">
        <v>37</v>
      </c>
    </row>
    <row r="21" spans="1:7" x14ac:dyDescent="0.25">
      <c r="A21" s="9" t="s">
        <v>38</v>
      </c>
      <c r="B21" s="19" t="b">
        <v>0</v>
      </c>
      <c r="C21" s="2"/>
      <c r="D21" s="2"/>
      <c r="E21" s="9"/>
      <c r="F21" s="20"/>
      <c r="G21" s="27"/>
    </row>
    <row r="22" spans="1:7" ht="15.75" thickBot="1" x14ac:dyDescent="0.3">
      <c r="A22" s="37" t="s">
        <v>38</v>
      </c>
      <c r="B22" s="38" t="b">
        <v>0</v>
      </c>
      <c r="C22" s="39"/>
      <c r="D22" s="39"/>
      <c r="E22" s="37"/>
      <c r="F22" s="40"/>
      <c r="G22" s="41"/>
    </row>
    <row r="23" spans="1:7" ht="16.5" thickTop="1" thickBot="1" x14ac:dyDescent="0.3">
      <c r="A23" s="10" t="s">
        <v>39</v>
      </c>
      <c r="E23" s="45">
        <f>SUM(E2:E22)</f>
        <v>20</v>
      </c>
      <c r="F23" s="10" t="s">
        <v>40</v>
      </c>
    </row>
    <row r="24" spans="1:7" ht="16.5" thickTop="1" thickBot="1" x14ac:dyDescent="0.3">
      <c r="A24" s="10" t="s">
        <v>41</v>
      </c>
      <c r="B24" s="52"/>
      <c r="C24" s="52"/>
      <c r="D24" s="52"/>
      <c r="E24" s="10"/>
    </row>
    <row r="25" spans="1:7" ht="16.5" thickTop="1" thickBot="1" x14ac:dyDescent="0.3">
      <c r="A25" s="10" t="s">
        <v>42</v>
      </c>
      <c r="E25" s="10">
        <f>E23*E24</f>
        <v>0</v>
      </c>
      <c r="F25" s="10" t="s">
        <v>40</v>
      </c>
    </row>
    <row r="26" spans="1:7" ht="15.75" thickTop="1" x14ac:dyDescent="0.25"/>
    <row r="27" spans="1:7" x14ac:dyDescent="0.25">
      <c r="A27" t="s">
        <v>43</v>
      </c>
      <c r="D27" s="53" t="s">
        <v>53</v>
      </c>
      <c r="E27" s="53"/>
      <c r="F27" s="53"/>
      <c r="G27" s="53"/>
    </row>
    <row r="28" spans="1:7" x14ac:dyDescent="0.25">
      <c r="A28" t="s">
        <v>44</v>
      </c>
      <c r="D28" s="53" t="s">
        <v>54</v>
      </c>
      <c r="E28" s="53"/>
      <c r="F28" s="53"/>
      <c r="G28" s="53"/>
    </row>
    <row r="40" spans="1:19" x14ac:dyDescent="0.25">
      <c r="A40" s="49"/>
    </row>
    <row r="41" spans="1:19" ht="16.5" x14ac:dyDescent="0.25">
      <c r="A41" s="50" t="s">
        <v>55</v>
      </c>
      <c r="G41" t="s">
        <v>62</v>
      </c>
    </row>
    <row r="42" spans="1:19" ht="33" x14ac:dyDescent="0.25">
      <c r="A42" s="50" t="s">
        <v>56</v>
      </c>
      <c r="G42" t="s">
        <v>63</v>
      </c>
    </row>
    <row r="43" spans="1:19" ht="16.5" x14ac:dyDescent="0.25">
      <c r="A43" s="51" t="s">
        <v>57</v>
      </c>
      <c r="G43" s="48" t="s">
        <v>69</v>
      </c>
      <c r="S43" t="s">
        <v>64</v>
      </c>
    </row>
    <row r="44" spans="1:19" ht="16.5" x14ac:dyDescent="0.25">
      <c r="A44" s="51" t="s">
        <v>58</v>
      </c>
      <c r="G44" s="47" t="s">
        <v>70</v>
      </c>
    </row>
    <row r="45" spans="1:19" ht="16.5" x14ac:dyDescent="0.25">
      <c r="A45" s="51" t="s">
        <v>59</v>
      </c>
      <c r="G45" s="48" t="s">
        <v>71</v>
      </c>
    </row>
    <row r="46" spans="1:19" ht="33" x14ac:dyDescent="0.25">
      <c r="A46" s="50" t="s">
        <v>60</v>
      </c>
      <c r="G46" t="s">
        <v>65</v>
      </c>
      <c r="S46" t="s">
        <v>66</v>
      </c>
    </row>
    <row r="47" spans="1:19" ht="49.5" x14ac:dyDescent="0.25">
      <c r="A47" s="50" t="s">
        <v>61</v>
      </c>
      <c r="G47" t="s">
        <v>67</v>
      </c>
      <c r="J47" s="47" t="s">
        <v>68</v>
      </c>
    </row>
    <row r="48" spans="1:19" x14ac:dyDescent="0.25">
      <c r="A48" s="49"/>
      <c r="G48" s="54" t="s">
        <v>72</v>
      </c>
    </row>
    <row r="49" spans="1:7" x14ac:dyDescent="0.25">
      <c r="A49" s="49"/>
      <c r="G49" s="48" t="s">
        <v>73</v>
      </c>
    </row>
    <row r="50" spans="1:7" x14ac:dyDescent="0.25">
      <c r="A50" s="49"/>
      <c r="G50" s="48" t="s">
        <v>74</v>
      </c>
    </row>
    <row r="51" spans="1:7" x14ac:dyDescent="0.25">
      <c r="A51" s="49"/>
      <c r="G51" s="48" t="s">
        <v>75</v>
      </c>
    </row>
    <row r="52" spans="1:7" x14ac:dyDescent="0.25">
      <c r="A52" s="49"/>
      <c r="G52" s="48" t="s">
        <v>76</v>
      </c>
    </row>
    <row r="54" spans="1:7" x14ac:dyDescent="0.25">
      <c r="E54" t="s">
        <v>78</v>
      </c>
      <c r="F54">
        <v>216</v>
      </c>
      <c r="G54" s="47" t="s">
        <v>77</v>
      </c>
    </row>
    <row r="55" spans="1:7" x14ac:dyDescent="0.25">
      <c r="F55">
        <v>167</v>
      </c>
    </row>
    <row r="57" spans="1:7" x14ac:dyDescent="0.25">
      <c r="G57" t="s">
        <v>79</v>
      </c>
    </row>
  </sheetData>
  <mergeCells count="3">
    <mergeCell ref="B24:D24"/>
    <mergeCell ref="D27:G27"/>
    <mergeCell ref="D28:G28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43faa2b-5c07-448b-8845-604c92fb8374">
      <Terms xmlns="http://schemas.microsoft.com/office/infopath/2007/PartnerControls"/>
    </lcf76f155ced4ddcb4097134ff3c332f>
    <TaxCatchAll xmlns="e2e77ec7-7757-4c67-855c-2bbd1a436ec6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3DC9BE784116B4D8E3FCEAD486FE9E0" ma:contentTypeVersion="12" ma:contentTypeDescription="Crée un document." ma:contentTypeScope="" ma:versionID="6c2c00ff4ca67c2d8f230ef100699458">
  <xsd:schema xmlns:xsd="http://www.w3.org/2001/XMLSchema" xmlns:xs="http://www.w3.org/2001/XMLSchema" xmlns:p="http://schemas.microsoft.com/office/2006/metadata/properties" xmlns:ns2="343faa2b-5c07-448b-8845-604c92fb8374" xmlns:ns3="e2e77ec7-7757-4c67-855c-2bbd1a436ec6" targetNamespace="http://schemas.microsoft.com/office/2006/metadata/properties" ma:root="true" ma:fieldsID="d38f3592ff549a0123d0369764f17002" ns2:_="" ns3:_="">
    <xsd:import namespace="343faa2b-5c07-448b-8845-604c92fb8374"/>
    <xsd:import namespace="e2e77ec7-7757-4c67-855c-2bbd1a436ec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3faa2b-5c07-448b-8845-604c92fb837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Balises d’images" ma:readOnly="false" ma:fieldId="{5cf76f15-5ced-4ddc-b409-7134ff3c332f}" ma:taxonomyMulti="true" ma:sspId="665c899b-c7a3-4e6a-92ef-2381e3bc2a7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2e77ec7-7757-4c67-855c-2bbd1a436ec6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1ac5a385-0cbe-4b71-85ee-bad84fe02096}" ma:internalName="TaxCatchAll" ma:showField="CatchAllData" ma:web="e2e77ec7-7757-4c67-855c-2bbd1a436ec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F54E7AB-8CCD-42CA-8C25-FC58A26AB5C3}">
  <ds:schemaRefs>
    <ds:schemaRef ds:uri="http://schemas.microsoft.com/office/2006/metadata/properties"/>
    <ds:schemaRef ds:uri="http://schemas.microsoft.com/office/infopath/2007/PartnerControls"/>
    <ds:schemaRef ds:uri="343faa2b-5c07-448b-8845-604c92fb8374"/>
    <ds:schemaRef ds:uri="e2e77ec7-7757-4c67-855c-2bbd1a436ec6"/>
  </ds:schemaRefs>
</ds:datastoreItem>
</file>

<file path=customXml/itemProps2.xml><?xml version="1.0" encoding="utf-8"?>
<ds:datastoreItem xmlns:ds="http://schemas.openxmlformats.org/officeDocument/2006/customXml" ds:itemID="{6419E537-8640-459C-AD2D-2E67FD4727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43faa2b-5c07-448b-8845-604c92fb8374"/>
    <ds:schemaRef ds:uri="e2e77ec7-7757-4c67-855c-2bbd1a436ec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A55B55A-35C7-4C2E-9080-55C53300D35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Grille Evaluation étudiants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TIHON Denis</dc:creator>
  <cp:keywords/>
  <dc:description/>
  <cp:lastModifiedBy>Sabir Adda</cp:lastModifiedBy>
  <cp:revision/>
  <dcterms:created xsi:type="dcterms:W3CDTF">2025-02-27T13:54:32Z</dcterms:created>
  <dcterms:modified xsi:type="dcterms:W3CDTF">2026-03-30T22:42:19Z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0x01010083DC9BE784116B4D8E3FCEAD486FE9E0</vt:lpwstr>
  </property>
  <property fmtid="{D5CDD505-2E9C-101B-9397-08002B2CF9AE}" pid="3" name="MediaServiceImageTags">
    <vt:lpwstr/>
  </property>
</Properties>
</file>